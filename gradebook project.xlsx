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mani\OneDrive\Documentos\mick\New folder\gradebook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3" i="1"/>
  <c r="D24" i="1"/>
  <c r="K24" i="1"/>
  <c r="J24" i="1"/>
  <c r="I24" i="1"/>
  <c r="H24" i="1"/>
  <c r="K23" i="1"/>
  <c r="J23" i="1"/>
  <c r="I23" i="1"/>
  <c r="H23" i="1"/>
  <c r="K22" i="1"/>
  <c r="J22" i="1"/>
  <c r="I22" i="1"/>
  <c r="H22" i="1"/>
  <c r="C22" i="1"/>
  <c r="E22" i="1"/>
  <c r="F22" i="1"/>
  <c r="E23" i="1"/>
  <c r="F23" i="1"/>
  <c r="E24" i="1"/>
  <c r="F24" i="1"/>
  <c r="C24" i="1"/>
  <c r="C2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<sst xmlns="http://schemas.openxmlformats.org/spreadsheetml/2006/main" count="49" uniqueCount="44">
  <si>
    <t>Gradebook</t>
  </si>
  <si>
    <t>Last Name First Name</t>
  </si>
  <si>
    <t>Mick</t>
  </si>
  <si>
    <t>Nificent</t>
  </si>
  <si>
    <t>Zwavhudi</t>
  </si>
  <si>
    <t>Peanut</t>
  </si>
  <si>
    <t>Jaby</t>
  </si>
  <si>
    <t>Khathu</t>
  </si>
  <si>
    <t>Sansa</t>
  </si>
  <si>
    <t>Stark</t>
  </si>
  <si>
    <t>Snow</t>
  </si>
  <si>
    <t>Bolton</t>
  </si>
  <si>
    <t>Black</t>
  </si>
  <si>
    <t>Tally</t>
  </si>
  <si>
    <t>Ragnar</t>
  </si>
  <si>
    <t>Bjorn</t>
  </si>
  <si>
    <t>Olivia</t>
  </si>
  <si>
    <t>Rollo</t>
  </si>
  <si>
    <t>Ivar</t>
  </si>
  <si>
    <t>Tyron</t>
  </si>
  <si>
    <t>Lannister</t>
  </si>
  <si>
    <t>Boneless</t>
  </si>
  <si>
    <t>Viking</t>
  </si>
  <si>
    <t>Greene</t>
  </si>
  <si>
    <t>Youmg</t>
  </si>
  <si>
    <t>Lorthbrok</t>
  </si>
  <si>
    <t>Sam</t>
  </si>
  <si>
    <t>Jason</t>
  </si>
  <si>
    <t>Ramsey</t>
  </si>
  <si>
    <t>Ayra</t>
  </si>
  <si>
    <t>John</t>
  </si>
  <si>
    <t>Safety Test</t>
  </si>
  <si>
    <t>Drug Test</t>
  </si>
  <si>
    <t>Company philosophy Test</t>
  </si>
  <si>
    <t>Financial skills Test</t>
  </si>
  <si>
    <t>Points Possible</t>
  </si>
  <si>
    <t>Roy</t>
  </si>
  <si>
    <t>Blue</t>
  </si>
  <si>
    <t>Ironside</t>
  </si>
  <si>
    <t>Robert</t>
  </si>
  <si>
    <t>Fire Employee</t>
  </si>
  <si>
    <t>Max</t>
  </si>
  <si>
    <t>Average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</si>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</sst>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left" vertical="top" indent="1"/>
    </xf>
    <xf numFmtId="0" fontId="0" fillId="0" borderId="0" xfId="0" applyAlignment="1"/>
    <xf numFmtId="9" fontId="0" fillId="0" borderId="0" xfId="1" applyFont="1"/>
    <xf numFmtId="164" fontId="0" fillId="0" borderId="0" xfId="0" applyNumberFormat="1"/>
    <xf numFmtId="0" fontId="0" fillId="0" borderId="0" xfId="0" applyAlignment="1">
      <alignment horizontal="left" vertical="top"/>
    </xf>
    <xf numFmtId="164" fontId="0" fillId="0" borderId="0" xfId="0" applyNumberFormat="1" applyAlignme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62554680664918E-2"/>
          <c:y val="0.19486111111111112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Safety 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Nificent</c:v>
                </c:pt>
                <c:pt idx="1">
                  <c:v>Peanut</c:v>
                </c:pt>
                <c:pt idx="2">
                  <c:v>Jaby</c:v>
                </c:pt>
                <c:pt idx="3">
                  <c:v>Stark</c:v>
                </c:pt>
                <c:pt idx="4">
                  <c:v>Stark</c:v>
                </c:pt>
                <c:pt idx="5">
                  <c:v>Snow</c:v>
                </c:pt>
                <c:pt idx="6">
                  <c:v>Bolton</c:v>
                </c:pt>
                <c:pt idx="7">
                  <c:v>Black</c:v>
                </c:pt>
                <c:pt idx="8">
                  <c:v>Tally</c:v>
                </c:pt>
                <c:pt idx="9">
                  <c:v>Ragnar</c:v>
                </c:pt>
                <c:pt idx="10">
                  <c:v>Bjorn</c:v>
                </c:pt>
                <c:pt idx="11">
                  <c:v>Olivia</c:v>
                </c:pt>
                <c:pt idx="12">
                  <c:v>Blue</c:v>
                </c:pt>
                <c:pt idx="13">
                  <c:v>Robert</c:v>
                </c:pt>
                <c:pt idx="14">
                  <c:v>Rollo</c:v>
                </c:pt>
                <c:pt idx="15">
                  <c:v>Ivar</c:v>
                </c:pt>
                <c:pt idx="16">
                  <c:v>Tyron</c:v>
                </c:pt>
              </c:strCache>
            </c:strRef>
          </c:cat>
          <c:val>
            <c:numRef>
              <c:f>Sheet1!$C$2:$C$20</c:f>
              <c:numCache>
                <c:formatCode>General</c:formatCode>
                <c:ptCount val="19"/>
                <c:pt idx="0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5</c:v>
                </c:pt>
                <c:pt idx="10">
                  <c:v>10</c:v>
                </c:pt>
                <c:pt idx="11">
                  <c:v>9</c:v>
                </c:pt>
                <c:pt idx="12">
                  <c:v>10</c:v>
                </c:pt>
                <c:pt idx="13">
                  <c:v>8</c:v>
                </c:pt>
                <c:pt idx="14">
                  <c:v>9</c:v>
                </c:pt>
                <c:pt idx="15">
                  <c:v>7</c:v>
                </c:pt>
                <c:pt idx="16">
                  <c:v>10</c:v>
                </c:pt>
                <c:pt idx="17">
                  <c:v>11</c:v>
                </c:pt>
                <c:pt idx="18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708576"/>
        <c:axId val="266708960"/>
      </c:barChart>
      <c:catAx>
        <c:axId val="26670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08960"/>
        <c:crosses val="autoZero"/>
        <c:auto val="1"/>
        <c:lblAlgn val="ctr"/>
        <c:lblOffset val="100"/>
        <c:noMultiLvlLbl val="0"/>
      </c:catAx>
      <c:valAx>
        <c:axId val="2667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70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975678040244975"/>
          <c:y val="0.148148148148148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62554680664918E-2"/>
          <c:y val="0.19486111111111112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Company philosophy 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Nificent</c:v>
                </c:pt>
                <c:pt idx="1">
                  <c:v>Peanut</c:v>
                </c:pt>
                <c:pt idx="2">
                  <c:v>Jaby</c:v>
                </c:pt>
                <c:pt idx="3">
                  <c:v>Stark</c:v>
                </c:pt>
                <c:pt idx="4">
                  <c:v>Stark</c:v>
                </c:pt>
                <c:pt idx="5">
                  <c:v>Snow</c:v>
                </c:pt>
                <c:pt idx="6">
                  <c:v>Bolton</c:v>
                </c:pt>
                <c:pt idx="7">
                  <c:v>Black</c:v>
                </c:pt>
                <c:pt idx="8">
                  <c:v>Tally</c:v>
                </c:pt>
                <c:pt idx="9">
                  <c:v>Ragnar</c:v>
                </c:pt>
                <c:pt idx="10">
                  <c:v>Bjorn</c:v>
                </c:pt>
                <c:pt idx="11">
                  <c:v>Olivia</c:v>
                </c:pt>
                <c:pt idx="12">
                  <c:v>Blue</c:v>
                </c:pt>
                <c:pt idx="13">
                  <c:v>Robert</c:v>
                </c:pt>
                <c:pt idx="14">
                  <c:v>Rollo</c:v>
                </c:pt>
                <c:pt idx="15">
                  <c:v>Ivar</c:v>
                </c:pt>
                <c:pt idx="16">
                  <c:v>Tyron</c:v>
                </c:pt>
              </c:strCache>
            </c:strRef>
          </c:cat>
          <c:val>
            <c:numRef>
              <c:f>Sheet1!$D$2:$D$20</c:f>
              <c:numCache>
                <c:formatCode>General</c:formatCode>
                <c:ptCount val="19"/>
                <c:pt idx="0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17</c:v>
                </c:pt>
                <c:pt idx="5">
                  <c:v>10</c:v>
                </c:pt>
                <c:pt idx="6">
                  <c:v>20</c:v>
                </c:pt>
                <c:pt idx="7">
                  <c:v>17</c:v>
                </c:pt>
                <c:pt idx="8">
                  <c:v>20</c:v>
                </c:pt>
                <c:pt idx="9">
                  <c:v>6</c:v>
                </c:pt>
                <c:pt idx="10">
                  <c:v>20</c:v>
                </c:pt>
                <c:pt idx="11">
                  <c:v>20</c:v>
                </c:pt>
                <c:pt idx="12">
                  <c:v>19</c:v>
                </c:pt>
                <c:pt idx="13">
                  <c:v>17</c:v>
                </c:pt>
                <c:pt idx="14">
                  <c:v>19</c:v>
                </c:pt>
                <c:pt idx="15">
                  <c:v>20</c:v>
                </c:pt>
                <c:pt idx="16">
                  <c:v>10</c:v>
                </c:pt>
                <c:pt idx="17">
                  <c:v>20</c:v>
                </c:pt>
                <c:pt idx="18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231032"/>
        <c:axId val="266231416"/>
      </c:barChart>
      <c:catAx>
        <c:axId val="26623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31416"/>
        <c:crosses val="autoZero"/>
        <c:auto val="1"/>
        <c:lblAlgn val="ctr"/>
        <c:lblOffset val="100"/>
        <c:noMultiLvlLbl val="0"/>
      </c:catAx>
      <c:valAx>
        <c:axId val="26623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31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Financial skills 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Nificent</c:v>
                </c:pt>
                <c:pt idx="1">
                  <c:v>Peanut</c:v>
                </c:pt>
                <c:pt idx="2">
                  <c:v>Jaby</c:v>
                </c:pt>
                <c:pt idx="3">
                  <c:v>Stark</c:v>
                </c:pt>
                <c:pt idx="4">
                  <c:v>Stark</c:v>
                </c:pt>
                <c:pt idx="5">
                  <c:v>Snow</c:v>
                </c:pt>
                <c:pt idx="6">
                  <c:v>Bolton</c:v>
                </c:pt>
                <c:pt idx="7">
                  <c:v>Black</c:v>
                </c:pt>
                <c:pt idx="8">
                  <c:v>Tally</c:v>
                </c:pt>
                <c:pt idx="9">
                  <c:v>Ragnar</c:v>
                </c:pt>
                <c:pt idx="10">
                  <c:v>Bjorn</c:v>
                </c:pt>
                <c:pt idx="11">
                  <c:v>Olivia</c:v>
                </c:pt>
                <c:pt idx="12">
                  <c:v>Blue</c:v>
                </c:pt>
                <c:pt idx="13">
                  <c:v>Robert</c:v>
                </c:pt>
                <c:pt idx="14">
                  <c:v>Rollo</c:v>
                </c:pt>
                <c:pt idx="15">
                  <c:v>Ivar</c:v>
                </c:pt>
                <c:pt idx="16">
                  <c:v>Tyron</c:v>
                </c:pt>
              </c:strCache>
            </c:strRef>
          </c:cat>
          <c:val>
            <c:numRef>
              <c:f>Sheet1!$E$2:$E$20</c:f>
              <c:numCache>
                <c:formatCode>General</c:formatCode>
                <c:ptCount val="19"/>
                <c:pt idx="0">
                  <c:v>100</c:v>
                </c:pt>
                <c:pt idx="2">
                  <c:v>93</c:v>
                </c:pt>
                <c:pt idx="3">
                  <c:v>100</c:v>
                </c:pt>
                <c:pt idx="4">
                  <c:v>82</c:v>
                </c:pt>
                <c:pt idx="5">
                  <c:v>73</c:v>
                </c:pt>
                <c:pt idx="6">
                  <c:v>59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67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45</c:v>
                </c:pt>
                <c:pt idx="15">
                  <c:v>90</c:v>
                </c:pt>
                <c:pt idx="16">
                  <c:v>80</c:v>
                </c:pt>
                <c:pt idx="17">
                  <c:v>69</c:v>
                </c:pt>
                <c:pt idx="18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6222016"/>
        <c:axId val="266249736"/>
      </c:barChart>
      <c:catAx>
        <c:axId val="26622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49736"/>
        <c:crosses val="autoZero"/>
        <c:auto val="1"/>
        <c:lblAlgn val="ctr"/>
        <c:lblOffset val="100"/>
        <c:noMultiLvlLbl val="0"/>
      </c:catAx>
      <c:valAx>
        <c:axId val="26624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2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139699</xdr:colOff>
      <xdr:row>0</xdr:row>
      <xdr:rowOff>711200</xdr:rowOff>
    </xdr:from>
    <xdr:to>
      <xdr:col>22</xdr:col>
      <xdr:colOff>118532</xdr:colOff>
      <xdr:row>13</xdr:row>
      <xdr:rowOff>110067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400151</xdr:colOff>
      <xdr:row>14</xdr:row>
      <xdr:rowOff>120146</xdr:rowOff>
    </xdr:from>
    <xdr:to>
      <xdr:col>22</xdr:col>
      <xdr:colOff>134056</xdr:colOff>
      <xdr:row>29</xdr:row>
      <xdr:rowOff>141917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423333</xdr:colOff>
      <xdr:row>30</xdr:row>
      <xdr:rowOff>99986</xdr:rowOff>
    </xdr:from>
    <xdr:to>
      <xdr:col>22</xdr:col>
      <xdr:colOff>194532</xdr:colOff>
      <xdr:row>47</xdr:row>
      <xdr:rowOff>80634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zoomScale="37" zoomScaleNormal="100" workbookViewId="0">
      <selection activeCell="E5" sqref="A1:XFD1048576"/>
    </sheetView>
  </sheetViews>
  <sheetFormatPr defaultColWidth="18.6328125" defaultRowHeight="14.5" x14ac:dyDescent="0.35"/>
  <cols>
    <col min="4" max="4" width="18.6328125" style="3"/>
  </cols>
  <sheetData>
    <row r="1" spans="1:13" ht="124" x14ac:dyDescent="0.35">
      <c r="A1" t="s">
        <v>0</v>
      </c>
      <c r="B1" s="1"/>
      <c r="C1" s="1" t="s">
        <v>31</v>
      </c>
      <c r="D1" s="1" t="s">
        <v>33</v>
      </c>
      <c r="E1" s="1" t="s">
        <v>34</v>
      </c>
      <c r="F1" s="1" t="s">
        <v>32</v>
      </c>
      <c r="H1" s="1" t="s">
        <v>31</v>
      </c>
      <c r="I1" s="1" t="s">
        <v>33</v>
      </c>
      <c r="J1" s="1" t="s">
        <v>34</v>
      </c>
      <c r="K1" s="1" t="s">
        <v>32</v>
      </c>
      <c r="M1" s="1" t="s">
        <v>40</v>
      </c>
    </row>
    <row r="2" spans="1:13" x14ac:dyDescent="0.35">
      <c r="B2" t="s">
        <v>35</v>
      </c>
      <c r="C2" s="2">
        <v>10</v>
      </c>
      <c r="D2" s="3">
        <v>20</v>
      </c>
      <c r="E2">
        <v>100</v>
      </c>
      <c r="F2">
        <v>1</v>
      </c>
    </row>
    <row r="3" spans="1:13" x14ac:dyDescent="0.35">
      <c r="A3" t="s">
        <v>1</v>
      </c>
      <c r="C3" s="2"/>
      <c r="D3" s="6"/>
      <c r="F3" s="2"/>
    </row>
    <row r="4" spans="1:13" x14ac:dyDescent="0.35">
      <c r="A4" t="s">
        <v>2</v>
      </c>
      <c r="B4" t="s">
        <v>3</v>
      </c>
      <c r="C4">
        <v>10</v>
      </c>
      <c r="D4" s="3">
        <v>19</v>
      </c>
      <c r="E4">
        <v>93</v>
      </c>
      <c r="F4">
        <v>1</v>
      </c>
      <c r="H4" s="4">
        <f>C4/C$2</f>
        <v>1</v>
      </c>
      <c r="I4" s="4">
        <f t="shared" ref="I4:K19" si="0">D4/D$2</f>
        <v>0.95</v>
      </c>
      <c r="J4" s="4">
        <f t="shared" si="0"/>
        <v>0.93</v>
      </c>
      <c r="K4" s="4">
        <f t="shared" si="0"/>
        <v>1</v>
      </c>
      <c r="M4" s="4" t="b">
        <f>OR(H4&lt;0.5,I4&lt;0.5,J4&lt;0.5,K4&lt;0.5)</f>
        <v>0</v>
      </c>
    </row>
    <row r="5" spans="1:13" x14ac:dyDescent="0.35">
      <c r="A5" t="s">
        <v>4</v>
      </c>
      <c r="B5" t="s">
        <v>5</v>
      </c>
      <c r="C5">
        <v>9</v>
      </c>
      <c r="D5" s="3">
        <v>20</v>
      </c>
      <c r="E5">
        <v>100</v>
      </c>
      <c r="F5">
        <v>1</v>
      </c>
      <c r="H5" s="4">
        <f t="shared" ref="H5:H20" si="1">C5/C$2</f>
        <v>0.9</v>
      </c>
      <c r="I5" s="4">
        <f t="shared" si="0"/>
        <v>1</v>
      </c>
      <c r="J5" s="4">
        <f t="shared" si="0"/>
        <v>1</v>
      </c>
      <c r="K5" s="4">
        <f t="shared" si="0"/>
        <v>1</v>
      </c>
      <c r="M5" s="4" t="b">
        <f t="shared" ref="M5:M20" si="2">OR(H5&lt;0.5,I5&lt;0.5,J5&lt;0.5,K5&lt;0.5)</f>
        <v>0</v>
      </c>
    </row>
    <row r="6" spans="1:13" x14ac:dyDescent="0.35">
      <c r="A6" t="s">
        <v>7</v>
      </c>
      <c r="B6" t="s">
        <v>6</v>
      </c>
      <c r="C6">
        <v>8</v>
      </c>
      <c r="D6" s="3">
        <v>17</v>
      </c>
      <c r="E6">
        <v>82</v>
      </c>
      <c r="F6">
        <v>1</v>
      </c>
      <c r="H6" s="4">
        <f t="shared" si="1"/>
        <v>0.8</v>
      </c>
      <c r="I6" s="4">
        <f t="shared" si="0"/>
        <v>0.85</v>
      </c>
      <c r="J6" s="4">
        <f t="shared" si="0"/>
        <v>0.82</v>
      </c>
      <c r="K6" s="4">
        <f t="shared" si="0"/>
        <v>1</v>
      </c>
      <c r="M6" s="4" t="b">
        <f t="shared" si="2"/>
        <v>0</v>
      </c>
    </row>
    <row r="7" spans="1:13" x14ac:dyDescent="0.35">
      <c r="A7" t="s">
        <v>8</v>
      </c>
      <c r="B7" t="s">
        <v>9</v>
      </c>
      <c r="C7">
        <v>9</v>
      </c>
      <c r="D7" s="3">
        <v>10</v>
      </c>
      <c r="E7">
        <v>73</v>
      </c>
      <c r="F7">
        <v>1</v>
      </c>
      <c r="H7" s="4">
        <f t="shared" si="1"/>
        <v>0.9</v>
      </c>
      <c r="I7" s="4">
        <f t="shared" si="0"/>
        <v>0.5</v>
      </c>
      <c r="J7" s="4">
        <f t="shared" si="0"/>
        <v>0.73</v>
      </c>
      <c r="K7" s="4">
        <f t="shared" si="0"/>
        <v>1</v>
      </c>
      <c r="M7" s="4" t="b">
        <f t="shared" si="2"/>
        <v>0</v>
      </c>
    </row>
    <row r="8" spans="1:13" x14ac:dyDescent="0.35">
      <c r="A8" t="s">
        <v>29</v>
      </c>
      <c r="B8" t="s">
        <v>9</v>
      </c>
      <c r="C8">
        <v>10</v>
      </c>
      <c r="D8" s="3">
        <v>20</v>
      </c>
      <c r="E8" s="3">
        <v>59</v>
      </c>
      <c r="F8">
        <v>1</v>
      </c>
      <c r="H8" s="4">
        <f t="shared" si="1"/>
        <v>1</v>
      </c>
      <c r="I8" s="4">
        <f t="shared" si="0"/>
        <v>1</v>
      </c>
      <c r="J8" s="4">
        <f t="shared" si="0"/>
        <v>0.59</v>
      </c>
      <c r="K8" s="4">
        <f t="shared" si="0"/>
        <v>1</v>
      </c>
      <c r="M8" s="4" t="b">
        <f t="shared" si="2"/>
        <v>0</v>
      </c>
    </row>
    <row r="9" spans="1:13" x14ac:dyDescent="0.35">
      <c r="A9" t="s">
        <v>30</v>
      </c>
      <c r="B9" t="s">
        <v>10</v>
      </c>
      <c r="C9">
        <v>9</v>
      </c>
      <c r="D9" s="3">
        <v>17</v>
      </c>
      <c r="E9">
        <v>100</v>
      </c>
      <c r="F9">
        <v>1</v>
      </c>
      <c r="H9" s="4">
        <f t="shared" si="1"/>
        <v>0.9</v>
      </c>
      <c r="I9" s="4">
        <f t="shared" si="0"/>
        <v>0.85</v>
      </c>
      <c r="J9" s="4">
        <f t="shared" si="0"/>
        <v>1</v>
      </c>
      <c r="K9" s="4">
        <f t="shared" si="0"/>
        <v>1</v>
      </c>
      <c r="M9" s="4" t="b">
        <f t="shared" si="2"/>
        <v>0</v>
      </c>
    </row>
    <row r="10" spans="1:13" x14ac:dyDescent="0.35">
      <c r="A10" t="s">
        <v>28</v>
      </c>
      <c r="B10" t="s">
        <v>11</v>
      </c>
      <c r="C10">
        <v>8</v>
      </c>
      <c r="D10" s="3">
        <v>20</v>
      </c>
      <c r="E10">
        <v>100</v>
      </c>
      <c r="F10">
        <v>0</v>
      </c>
      <c r="H10" s="4">
        <f t="shared" si="1"/>
        <v>0.8</v>
      </c>
      <c r="I10" s="4">
        <f t="shared" si="0"/>
        <v>1</v>
      </c>
      <c r="J10" s="4">
        <f t="shared" si="0"/>
        <v>1</v>
      </c>
      <c r="K10" s="4">
        <f t="shared" si="0"/>
        <v>0</v>
      </c>
      <c r="M10" s="4" t="b">
        <f t="shared" si="2"/>
        <v>1</v>
      </c>
    </row>
    <row r="11" spans="1:13" x14ac:dyDescent="0.35">
      <c r="A11" t="s">
        <v>27</v>
      </c>
      <c r="B11" t="s">
        <v>12</v>
      </c>
      <c r="C11">
        <v>5</v>
      </c>
      <c r="D11" s="3">
        <v>6</v>
      </c>
      <c r="E11">
        <v>100</v>
      </c>
      <c r="F11">
        <v>1</v>
      </c>
      <c r="H11" s="4">
        <f t="shared" si="1"/>
        <v>0.5</v>
      </c>
      <c r="I11" s="4">
        <f t="shared" si="0"/>
        <v>0.3</v>
      </c>
      <c r="J11" s="4">
        <f t="shared" si="0"/>
        <v>1</v>
      </c>
      <c r="K11" s="4">
        <f t="shared" si="0"/>
        <v>1</v>
      </c>
      <c r="M11" s="4" t="b">
        <f t="shared" si="2"/>
        <v>1</v>
      </c>
    </row>
    <row r="12" spans="1:13" x14ac:dyDescent="0.35">
      <c r="A12" t="s">
        <v>26</v>
      </c>
      <c r="B12" t="s">
        <v>13</v>
      </c>
      <c r="C12">
        <v>10</v>
      </c>
      <c r="D12" s="3">
        <v>20</v>
      </c>
      <c r="E12">
        <v>67</v>
      </c>
      <c r="F12">
        <v>1</v>
      </c>
      <c r="H12" s="4">
        <f t="shared" si="1"/>
        <v>1</v>
      </c>
      <c r="I12" s="4">
        <f t="shared" si="0"/>
        <v>1</v>
      </c>
      <c r="J12" s="4">
        <f t="shared" si="0"/>
        <v>0.67</v>
      </c>
      <c r="K12" s="4">
        <f t="shared" si="0"/>
        <v>1</v>
      </c>
      <c r="M12" s="4" t="b">
        <f t="shared" si="2"/>
        <v>0</v>
      </c>
    </row>
    <row r="13" spans="1:13" x14ac:dyDescent="0.35">
      <c r="A13" t="s">
        <v>25</v>
      </c>
      <c r="B13" t="s">
        <v>14</v>
      </c>
      <c r="C13">
        <v>9</v>
      </c>
      <c r="D13" s="3">
        <v>20</v>
      </c>
      <c r="E13">
        <v>70</v>
      </c>
      <c r="F13">
        <v>1</v>
      </c>
      <c r="H13" s="4">
        <f t="shared" si="1"/>
        <v>0.9</v>
      </c>
      <c r="I13" s="4">
        <f t="shared" si="0"/>
        <v>1</v>
      </c>
      <c r="J13" s="4">
        <f t="shared" si="0"/>
        <v>0.7</v>
      </c>
      <c r="K13" s="4">
        <f t="shared" si="0"/>
        <v>1</v>
      </c>
      <c r="M13" s="4" t="b">
        <f t="shared" si="2"/>
        <v>0</v>
      </c>
    </row>
    <row r="14" spans="1:13" x14ac:dyDescent="0.35">
      <c r="A14" t="s">
        <v>38</v>
      </c>
      <c r="B14" t="s">
        <v>15</v>
      </c>
      <c r="C14">
        <v>10</v>
      </c>
      <c r="D14" s="3">
        <v>19</v>
      </c>
      <c r="E14">
        <v>80</v>
      </c>
      <c r="F14">
        <v>1</v>
      </c>
      <c r="H14" s="4">
        <f t="shared" si="1"/>
        <v>1</v>
      </c>
      <c r="I14" s="4">
        <f t="shared" si="0"/>
        <v>0.95</v>
      </c>
      <c r="J14" s="4">
        <f t="shared" si="0"/>
        <v>0.8</v>
      </c>
      <c r="K14" s="4">
        <f t="shared" si="0"/>
        <v>1</v>
      </c>
      <c r="M14" s="4" t="b">
        <f t="shared" si="2"/>
        <v>0</v>
      </c>
    </row>
    <row r="15" spans="1:13" x14ac:dyDescent="0.35">
      <c r="A15" t="s">
        <v>24</v>
      </c>
      <c r="B15" t="s">
        <v>16</v>
      </c>
      <c r="C15">
        <v>8</v>
      </c>
      <c r="D15" s="3">
        <v>17</v>
      </c>
      <c r="E15">
        <v>90</v>
      </c>
      <c r="F15">
        <v>1</v>
      </c>
      <c r="H15" s="4">
        <f t="shared" si="1"/>
        <v>0.8</v>
      </c>
      <c r="I15" s="4">
        <f t="shared" si="0"/>
        <v>0.85</v>
      </c>
      <c r="J15" s="4">
        <f t="shared" si="0"/>
        <v>0.9</v>
      </c>
      <c r="K15" s="4">
        <f t="shared" si="0"/>
        <v>1</v>
      </c>
      <c r="M15" s="4" t="b">
        <f t="shared" si="2"/>
        <v>0</v>
      </c>
    </row>
    <row r="16" spans="1:13" x14ac:dyDescent="0.35">
      <c r="A16" t="s">
        <v>36</v>
      </c>
      <c r="B16" t="s">
        <v>37</v>
      </c>
      <c r="C16">
        <v>9</v>
      </c>
      <c r="D16" s="3">
        <v>19</v>
      </c>
      <c r="E16">
        <v>45</v>
      </c>
      <c r="F16">
        <v>0</v>
      </c>
      <c r="H16" s="4">
        <f t="shared" si="1"/>
        <v>0.9</v>
      </c>
      <c r="I16" s="4">
        <f t="shared" si="0"/>
        <v>0.95</v>
      </c>
      <c r="J16" s="4">
        <f t="shared" si="0"/>
        <v>0.45</v>
      </c>
      <c r="K16" s="4">
        <f t="shared" si="0"/>
        <v>0</v>
      </c>
      <c r="M16" s="4" t="b">
        <f t="shared" si="2"/>
        <v>1</v>
      </c>
    </row>
    <row r="17" spans="1:13" x14ac:dyDescent="0.35">
      <c r="A17" t="s">
        <v>23</v>
      </c>
      <c r="B17" t="s">
        <v>39</v>
      </c>
      <c r="C17">
        <v>7</v>
      </c>
      <c r="D17" s="3">
        <v>20</v>
      </c>
      <c r="E17">
        <v>90</v>
      </c>
      <c r="F17">
        <v>1</v>
      </c>
      <c r="H17" s="4">
        <f t="shared" si="1"/>
        <v>0.7</v>
      </c>
      <c r="I17" s="4">
        <f t="shared" si="0"/>
        <v>1</v>
      </c>
      <c r="J17" s="4">
        <f t="shared" si="0"/>
        <v>0.9</v>
      </c>
      <c r="K17" s="4">
        <f t="shared" si="0"/>
        <v>1</v>
      </c>
      <c r="M17" s="4" t="b">
        <f t="shared" si="2"/>
        <v>0</v>
      </c>
    </row>
    <row r="18" spans="1:13" x14ac:dyDescent="0.35">
      <c r="A18" t="s">
        <v>22</v>
      </c>
      <c r="B18" t="s">
        <v>17</v>
      </c>
      <c r="C18">
        <v>10</v>
      </c>
      <c r="D18" s="3">
        <v>10</v>
      </c>
      <c r="E18">
        <v>80</v>
      </c>
      <c r="F18">
        <v>1</v>
      </c>
      <c r="H18" s="4">
        <f t="shared" si="1"/>
        <v>1</v>
      </c>
      <c r="I18" s="4">
        <f t="shared" si="0"/>
        <v>0.5</v>
      </c>
      <c r="J18" s="4">
        <f t="shared" si="0"/>
        <v>0.8</v>
      </c>
      <c r="K18" s="4">
        <f t="shared" si="0"/>
        <v>1</v>
      </c>
      <c r="M18" s="4" t="b">
        <f t="shared" si="2"/>
        <v>0</v>
      </c>
    </row>
    <row r="19" spans="1:13" x14ac:dyDescent="0.35">
      <c r="A19" t="s">
        <v>21</v>
      </c>
      <c r="B19" t="s">
        <v>18</v>
      </c>
      <c r="C19">
        <v>11</v>
      </c>
      <c r="D19" s="3">
        <v>20</v>
      </c>
      <c r="E19">
        <v>69</v>
      </c>
      <c r="F19">
        <v>1</v>
      </c>
      <c r="H19" s="4">
        <f t="shared" si="1"/>
        <v>1.1000000000000001</v>
      </c>
      <c r="I19" s="4">
        <f t="shared" si="0"/>
        <v>1</v>
      </c>
      <c r="J19" s="4">
        <f t="shared" si="0"/>
        <v>0.69</v>
      </c>
      <c r="K19" s="4">
        <f t="shared" si="0"/>
        <v>1</v>
      </c>
      <c r="M19" s="4" t="b">
        <f t="shared" si="2"/>
        <v>0</v>
      </c>
    </row>
    <row r="20" spans="1:13" x14ac:dyDescent="0.35">
      <c r="A20" t="s">
        <v>20</v>
      </c>
      <c r="B20" t="s">
        <v>19</v>
      </c>
      <c r="C20">
        <v>10</v>
      </c>
      <c r="D20" s="3">
        <v>14</v>
      </c>
      <c r="E20">
        <v>90</v>
      </c>
      <c r="F20">
        <v>1</v>
      </c>
      <c r="H20" s="4">
        <f t="shared" si="1"/>
        <v>1</v>
      </c>
      <c r="I20" s="4">
        <f t="shared" ref="I20" si="3">D20/D$2</f>
        <v>0.7</v>
      </c>
      <c r="J20" s="4">
        <f t="shared" ref="J20" si="4">E20/E$2</f>
        <v>0.9</v>
      </c>
      <c r="K20" s="4">
        <f t="shared" ref="K20" si="5">F20/F$2</f>
        <v>1</v>
      </c>
      <c r="M20" s="4" t="b">
        <f t="shared" si="2"/>
        <v>0</v>
      </c>
    </row>
    <row r="22" spans="1:13" x14ac:dyDescent="0.35">
      <c r="A22" t="s">
        <v>41</v>
      </c>
      <c r="C22">
        <f>MAX(C4:C20)</f>
        <v>11</v>
      </c>
      <c r="D22" s="3">
        <f t="shared" ref="D22:F22" si="6">MAX(D4:D20)</f>
        <v>20</v>
      </c>
      <c r="E22">
        <f t="shared" si="6"/>
        <v>100</v>
      </c>
      <c r="F22">
        <f t="shared" si="6"/>
        <v>1</v>
      </c>
      <c r="H22" s="4">
        <f>MAX(H4:H20)</f>
        <v>1.1000000000000001</v>
      </c>
      <c r="I22" s="4">
        <f t="shared" ref="I22:K22" si="7">MAX(I4:I20)</f>
        <v>1</v>
      </c>
      <c r="J22" s="4">
        <f t="shared" si="7"/>
        <v>1</v>
      </c>
      <c r="K22" s="4">
        <f t="shared" si="7"/>
        <v>1</v>
      </c>
    </row>
    <row r="23" spans="1:13" x14ac:dyDescent="0.35">
      <c r="A23" t="s">
        <v>43</v>
      </c>
      <c r="C23">
        <f>MIN(C4:C20)</f>
        <v>5</v>
      </c>
      <c r="D23" s="3">
        <f t="shared" ref="D23:F23" si="8">MIN(D4:D20)</f>
        <v>6</v>
      </c>
      <c r="E23">
        <f t="shared" si="8"/>
        <v>45</v>
      </c>
      <c r="F23">
        <f t="shared" si="8"/>
        <v>0</v>
      </c>
      <c r="H23" s="4">
        <f>MIN(H4:H20)</f>
        <v>0.5</v>
      </c>
      <c r="I23" s="4">
        <f t="shared" ref="I23:K23" si="9">MIN(I4:I20)</f>
        <v>0.3</v>
      </c>
      <c r="J23" s="4">
        <f t="shared" si="9"/>
        <v>0.45</v>
      </c>
      <c r="K23" s="4">
        <f t="shared" si="9"/>
        <v>0</v>
      </c>
    </row>
    <row r="24" spans="1:13" x14ac:dyDescent="0.35">
      <c r="A24" t="s">
        <v>42</v>
      </c>
      <c r="C24" s="5">
        <f>AVERAGE(C4:C20)</f>
        <v>8.9411764705882355</v>
      </c>
      <c r="D24" s="7">
        <f t="shared" ref="D24:F24" si="10">AVERAGE(D4:D20)</f>
        <v>16.941176470588236</v>
      </c>
      <c r="E24" s="5">
        <f t="shared" si="10"/>
        <v>81.647058823529406</v>
      </c>
      <c r="F24" s="5">
        <f t="shared" si="10"/>
        <v>0.88235294117647056</v>
      </c>
      <c r="H24" s="4">
        <f>AVERAGE(H4:H20)</f>
        <v>0.89411764705882346</v>
      </c>
      <c r="I24" s="4">
        <f t="shared" ref="I24:K24" si="11">AVERAGE(I4:I20)</f>
        <v>0.84705882352941153</v>
      </c>
      <c r="J24" s="4">
        <f t="shared" si="11"/>
        <v>0.81647058823529417</v>
      </c>
      <c r="K24" s="4">
        <f t="shared" si="11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Dimani</dc:creator>
  <cp:lastModifiedBy>Dimani</cp:lastModifiedBy>
  <cp:lastPrinted>2026-03-27T13:52:53Z</cp:lastPrinted>
  <dcterms:created xsi:type="dcterms:W3CDTF">2026-03-27T10:55:30Z</dcterms:created>
  <dcterms:modified xsi:type="dcterms:W3CDTF">2026-08-26T07:10:40Z</dcterms:modified>
</cp:coreProperties>
</file>